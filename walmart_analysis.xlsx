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🏪 Store Performance" sheetId="2" state="visible" r:id="rId4"/>
    <sheet name="📋 Pivot Data" sheetId="3" state="visible" r:id="rId5"/>
    <sheet name="💡 Key Find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<sst xmlns="http://schemas.openxmlformats.org/spreadsheetml/2006/main" count="238" uniqueCount="167">
  <si>
    <t xml:space="preserve">WALMART SALES INTELLIGENCE REPORT</t>
  </si>
  <si>
    <t xml:space="preserve">Retail Performance Analysis  |  2010–2013  |  45 Stores  |  $160.5M Total Revenue</t>
  </si>
  <si>
    <t xml:space="preserve">Tools: Excel  ·  Pivot Tables  ·  Data Cleaning  ·  Business Analytics  |  Analyst: Kusum</t>
  </si>
  <si>
    <t xml:space="preserve">TOTAL REVENUE</t>
  </si>
  <si>
    <t xml:space="preserve">TOP STORE</t>
  </si>
  <si>
    <t xml:space="preserve">PEAK YEARS</t>
  </si>
  <si>
    <t xml:space="preserve">HOLIDAY UPLIFT</t>
  </si>
  <si>
    <t xml:space="preserve">$160.5M</t>
  </si>
  <si>
    <t xml:space="preserve">Store #13</t>
  </si>
  <si>
    <t xml:space="preserve">2011 &amp; 2012</t>
  </si>
  <si>
    <t xml:space="preserve">7.2% share</t>
  </si>
  <si>
    <t xml:space="preserve">All 45 stores · 2010–2013</t>
  </si>
  <si>
    <t xml:space="preserve">$8.51M weekly sales</t>
  </si>
  <si>
    <t xml:space="preserve">$45.9M each — plateau detected</t>
  </si>
  <si>
    <t xml:space="preserve">Higher per-week avg in holiday wks</t>
  </si>
  <si>
    <t xml:space="preserve">▌ 01  YEAR-WISE SALES TREND</t>
  </si>
  <si>
    <t xml:space="preserve">Year</t>
  </si>
  <si>
    <t xml:space="preserve">Weekly Sales ($)</t>
  </si>
  <si>
    <t xml:space="preserve">vs Prior Year</t>
  </si>
  <si>
    <t xml:space="preserve">% of Total</t>
  </si>
  <si>
    <t xml:space="preserve">Notes</t>
  </si>
  <si>
    <t xml:space="preserve">—</t>
  </si>
  <si>
    <t xml:space="preserve">26.4%</t>
  </si>
  <si>
    <t xml:space="preserve">Growth year — base period</t>
  </si>
  <si>
    <t xml:space="preserve">+8.3%</t>
  </si>
  <si>
    <t xml:space="preserve">28.6%</t>
  </si>
  <si>
    <t xml:space="preserve">Peak year — plateau begins</t>
  </si>
  <si>
    <t xml:space="preserve">0.0%</t>
  </si>
  <si>
    <t xml:space="preserve">Flat — plateau confirmed</t>
  </si>
  <si>
    <t xml:space="preserve">Partial</t>
  </si>
  <si>
    <t xml:space="preserve">16.5%</t>
  </si>
  <si>
    <t xml:space="preserve">Half-year data only</t>
  </si>
  <si>
    <t xml:space="preserve">GRAND TOTAL</t>
  </si>
  <si>
    <t xml:space="preserve">100%</t>
  </si>
  <si>
    <t xml:space="preserve">Source: Walmart dataset 2010–2013</t>
  </si>
  <si>
    <t xml:space="preserve">▌ 02  PROMOTION IMPACT ANALYSIS</t>
  </si>
  <si>
    <t xml:space="preserve">Promotion Level</t>
  </si>
  <si>
    <t xml:space="preserve">% Share</t>
  </si>
  <si>
    <t xml:space="preserve">Business Insight</t>
  </si>
  <si>
    <t xml:space="preserve">No Promo</t>
  </si>
  <si>
    <t xml:space="preserve">50.7%</t>
  </si>
  <si>
    <t xml:space="preserve">✔ Best performer — no discounting needed</t>
  </si>
  <si>
    <t xml:space="preserve">Low Markdown</t>
  </si>
  <si>
    <t xml:space="preserve">24.4%</t>
  </si>
  <si>
    <t xml:space="preserve">Moderate impact on sales</t>
  </si>
  <si>
    <t xml:space="preserve">Medium Markdown</t>
  </si>
  <si>
    <t xml:space="preserve">19.9%</t>
  </si>
  <si>
    <t xml:space="preserve">Diminishing returns visible</t>
  </si>
  <si>
    <t xml:space="preserve">High Markdown</t>
  </si>
  <si>
    <t xml:space="preserve">5.0%</t>
  </si>
  <si>
    <t xml:space="preserve">⚠ Lowest revenue — review strategy</t>
  </si>
  <si>
    <t xml:space="preserve">💡 KEY INSIGHT: Heavy discounting REDUCES revenue. No-Promo weeks alone = $81.1M (50.7%). Recommendation: Reduce dependency on markdowns — invest in product quality and in-store experience instead.</t>
  </si>
  <si>
    <t xml:space="preserve">▌ 03  EXTERNAL FACTORS — TEMPERATURE  |  FUEL  |  UNEMPLOYMENT</t>
  </si>
  <si>
    <t xml:space="preserve">Factor</t>
  </si>
  <si>
    <t xml:space="preserve">Category</t>
  </si>
  <si>
    <t xml:space="preserve">Finding</t>
  </si>
  <si>
    <t xml:space="preserve">Temperature</t>
  </si>
  <si>
    <t xml:space="preserve">High Temp</t>
  </si>
  <si>
    <t xml:space="preserve">85.8%</t>
  </si>
  <si>
    <t xml:space="preserve">HIGH TEMP = HIGH SALES — Strong correlation</t>
  </si>
  <si>
    <t xml:space="preserve">Normal Temp</t>
  </si>
  <si>
    <t xml:space="preserve">14.1%</t>
  </si>
  <si>
    <t xml:space="preserve">Moderate sales</t>
  </si>
  <si>
    <t xml:space="preserve">Low Temp</t>
  </si>
  <si>
    <t xml:space="preserve">0.2%</t>
  </si>
  <si>
    <t xml:space="preserve">Cold weather suppresses visits severely</t>
  </si>
  <si>
    <t xml:space="preserve">Fuel Price</t>
  </si>
  <si>
    <t xml:space="preserve">Normal Price</t>
  </si>
  <si>
    <t xml:space="preserve">71.2%</t>
  </si>
  <si>
    <t xml:space="preserve">NORMAL FUEL = PEAK SALES ✔</t>
  </si>
  <si>
    <t xml:space="preserve">Low Price</t>
  </si>
  <si>
    <t xml:space="preserve">23.1%</t>
  </si>
  <si>
    <t xml:space="preserve">Good performance</t>
  </si>
  <si>
    <t xml:space="preserve">High Price</t>
  </si>
  <si>
    <t xml:space="preserve">5.7%</t>
  </si>
  <si>
    <t xml:space="preserve">High fuel reduces discretionary trips</t>
  </si>
  <si>
    <t xml:space="preserve">Unemployment</t>
  </si>
  <si>
    <t xml:space="preserve">Moderate</t>
  </si>
  <si>
    <t xml:space="preserve">71.4%</t>
  </si>
  <si>
    <t xml:space="preserve">MODERATE UNEMPLOYMENT = BEST SALES ✔</t>
  </si>
  <si>
    <t xml:space="preserve">Low</t>
  </si>
  <si>
    <t xml:space="preserve">15.6%</t>
  </si>
  <si>
    <t xml:space="preserve">Less value-seeking behavior</t>
  </si>
  <si>
    <t xml:space="preserve">High</t>
  </si>
  <si>
    <t xml:space="preserve">9.0%</t>
  </si>
  <si>
    <t xml:space="preserve">Economic stress reduces spending</t>
  </si>
  <si>
    <t xml:space="preserve">Very High</t>
  </si>
  <si>
    <t xml:space="preserve">4.1%</t>
  </si>
  <si>
    <t xml:space="preserve">⚠ Severe economic conditions hurt retail</t>
  </si>
  <si>
    <t xml:space="preserve">Walmart Sales Intelligence Report  ·  Analyst: Kusum  ·  Portfolio Project</t>
  </si>
  <si>
    <t xml:space="preserve">Tools: Excel  ·  Pivot Tables  ·  Data Analysis  ·  Business Intelligence</t>
  </si>
  <si>
    <t xml:space="preserve">STORE PERFORMANCE RANKING</t>
  </si>
  <si>
    <t xml:space="preserve">45 Stores Ranked by Total Weekly Sales  |  Best &amp; Worst Performers Identified</t>
  </si>
  <si>
    <t xml:space="preserve">★  TOP 5 PERFORMING STORES</t>
  </si>
  <si>
    <t xml:space="preserve">Rank</t>
  </si>
  <si>
    <t xml:space="preserve">Store #</t>
  </si>
  <si>
    <t xml:space="preserve">% of Top-5 Total</t>
  </si>
  <si>
    <t xml:space="preserve">Performance Tag</t>
  </si>
  <si>
    <t xml:space="preserve">22.6%</t>
  </si>
  <si>
    <t xml:space="preserve">🏆 #1 Highest Revenue — 19.8% above #2</t>
  </si>
  <si>
    <t xml:space="preserve">Store #20</t>
  </si>
  <si>
    <t xml:space="preserve">22.3%</t>
  </si>
  <si>
    <t xml:space="preserve">Strong performer — close to leader</t>
  </si>
  <si>
    <t xml:space="preserve">Store #10</t>
  </si>
  <si>
    <t xml:space="preserve">19.4%</t>
  </si>
  <si>
    <t xml:space="preserve">Consistent top-3 store</t>
  </si>
  <si>
    <t xml:space="preserve">Store #4</t>
  </si>
  <si>
    <t xml:space="preserve">18.7%</t>
  </si>
  <si>
    <t xml:space="preserve">Reliable performer</t>
  </si>
  <si>
    <t xml:space="preserve">Store #2</t>
  </si>
  <si>
    <t xml:space="preserve">16.9%</t>
  </si>
  <si>
    <t xml:space="preserve">Rounds out top 5</t>
  </si>
  <si>
    <t xml:space="preserve">⚠  BOTTOM 5 UNDERPERFORMING STORES</t>
  </si>
  <si>
    <t xml:space="preserve">Store #38</t>
  </si>
  <si>
    <t xml:space="preserve">14.4% of Store #13</t>
  </si>
  <si>
    <t xml:space="preserve">Lowest of bottom 5</t>
  </si>
  <si>
    <t xml:space="preserve">Store #43</t>
  </si>
  <si>
    <t xml:space="preserve">13.9% of Store #13</t>
  </si>
  <si>
    <t xml:space="preserve">Close gap with #38</t>
  </si>
  <si>
    <t xml:space="preserve">Store #3</t>
  </si>
  <si>
    <t xml:space="preserve">13.8% of Store #13</t>
  </si>
  <si>
    <t xml:space="preserve">Almost identical to #43</t>
  </si>
  <si>
    <t xml:space="preserve">Store #36</t>
  </si>
  <si>
    <t xml:space="preserve">4.6% of Store #13</t>
  </si>
  <si>
    <t xml:space="preserve">⚠ Severely underperforming</t>
  </si>
  <si>
    <t xml:space="preserve">Store #33</t>
  </si>
  <si>
    <t xml:space="preserve">3.4% of Store #13</t>
  </si>
  <si>
    <t xml:space="preserve">🔴 29x lower than Store #13 — review needed</t>
  </si>
  <si>
    <t xml:space="preserve">📊 ANALYSIS: Top 5 stores generate ~$37.6M combined (23.5% of total). Bottom 5 only generate ~$4.3M (2.7%). A 29x performance gap suggests structural issues — location, store size, or market demographics. Strategic recommendation: Conduct root-cause analysis on Store #33 and #36 — potential candidates for format change or reallocation of resources to high-performing stores.</t>
  </si>
  <si>
    <t xml:space="preserve">CLEANED PIVOT DATA — ALL ANALYSES</t>
  </si>
  <si>
    <t xml:space="preserve">Year-wise Sales</t>
  </si>
  <si>
    <t xml:space="preserve">Sum of Weekly Sales</t>
  </si>
  <si>
    <t xml:space="preserve">TOTAL</t>
  </si>
  <si>
    <t xml:space="preserve">Holiday Impact</t>
  </si>
  <si>
    <t xml:space="preserve">Is Holiday</t>
  </si>
  <si>
    <t xml:space="preserve">Interpretation</t>
  </si>
  <si>
    <t xml:space="preserve">Non-holiday weeks</t>
  </si>
  <si>
    <t xml:space="preserve">Holiday weeks</t>
  </si>
  <si>
    <t xml:space="preserve">Promotion Effect</t>
  </si>
  <si>
    <t xml:space="preserve">Promo Level</t>
  </si>
  <si>
    <t xml:space="preserve">Medium</t>
  </si>
  <si>
    <t xml:space="preserve">Temperature Impact</t>
  </si>
  <si>
    <t xml:space="preserve">Temp Category</t>
  </si>
  <si>
    <t xml:space="preserve">Fuel Price Impact</t>
  </si>
  <si>
    <t xml:space="preserve">Fuel Category</t>
  </si>
  <si>
    <t xml:space="preserve">Unemployment Impact</t>
  </si>
  <si>
    <t xml:space="preserve">Level</t>
  </si>
  <si>
    <t xml:space="preserve">KEY FINDINGS &amp; BUSINESS RECOMMENDATIONS</t>
  </si>
  <si>
    <t xml:space="preserve">Actionable insights derived from Walmart sales data analysis</t>
  </si>
  <si>
    <t xml:space="preserve">★ Store Concentration Risk</t>
  </si>
  <si>
    <t xml:space="preserve">Top 5 stores generate 23.5% of all revenue. Bottom 5 contribute only 2.7%.</t>
  </si>
  <si>
    <t xml:space="preserve">Action: Audit Store #33 and #36 — 29x performance gap needs root-cause analysis.</t>
  </si>
  <si>
    <t xml:space="preserve">★ Anti-Promotion Effect (Key Insight)</t>
  </si>
  <si>
    <t xml:space="preserve">No-Promo weeks generate $81.1M (50.7% of total) — more than all markdown types combined.</t>
  </si>
  <si>
    <t xml:space="preserve">Action: Shift from discount-heavy strategy to value-differentiation and store experience.</t>
  </si>
  <si>
    <t xml:space="preserve">★ Weather-Driven Demand</t>
  </si>
  <si>
    <t xml:space="preserve">85.8% of revenue generated during high-temperature periods.</t>
  </si>
  <si>
    <t xml:space="preserve">Action: Seasonal inventory planning — stock-up for warm months, reduce in cold periods.</t>
  </si>
  <si>
    <t xml:space="preserve">★ Fuel Price Sensitivity</t>
  </si>
  <si>
    <t xml:space="preserve">Normal fuel prices = $114.2M (71.2%) vs High prices = $9.2M (5.7%) only.</t>
  </si>
  <si>
    <t xml:space="preserve">Action: Introduce click-and-collect or delivery options for high-fuel-price periods.</t>
  </si>
  <si>
    <t xml:space="preserve">★ Unemployment Sweet Spot</t>
  </si>
  <si>
    <t xml:space="preserve">Moderate unemployment = $114.5M (71.4%). Walmart thrives when consumers are value-conscious.</t>
  </si>
  <si>
    <t xml:space="preserve">Action: Position as value retailer in moderate-economy markets; target middle-income segments.</t>
  </si>
  <si>
    <t xml:space="preserve">★ Holiday Revenue Opportunity</t>
  </si>
  <si>
    <t xml:space="preserve">Holiday weeks show higher per-week averages despite only 7.2% share of total weeks.</t>
  </si>
  <si>
    <t xml:space="preserve">Action: Amplify Q4 holiday promotions with targeted stock-building 6 weeks prior.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</si>
</sst>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1F5F9"/>
      <name val="Arial"/>
      <family val="0"/>
      <charset val="1"/>
    </font>
    <font>
      <sz val="10"/>
      <color rgb="FF94A3B8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8B5CF6"/>
      <name val="Arial"/>
      <family val="0"/>
      <charset val="1"/>
    </font>
    <font>
      <b val="true"/>
      <sz val="14"/>
      <color rgb="FF3B82F6"/>
      <name val="Arial"/>
      <family val="0"/>
      <charset val="1"/>
    </font>
    <font>
      <b val="true"/>
      <sz val="14"/>
      <color rgb="FF10B981"/>
      <name val="Arial"/>
      <family val="0"/>
      <charset val="1"/>
    </font>
    <font>
      <b val="true"/>
      <sz val="14"/>
      <color rgb="FFF59E0B"/>
      <name val="Arial"/>
      <family val="0"/>
      <charset val="1"/>
    </font>
    <font>
      <b val="true"/>
      <sz val="14"/>
      <color rgb="FF8B5CF6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0"/>
      <color rgb="FF06B6D4"/>
      <name val="Arial"/>
      <family val="0"/>
      <charset val="1"/>
    </font>
    <font>
      <b val="true"/>
      <sz val="9"/>
      <color rgb="FFF1F5F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10B981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b val="true"/>
      <sz val="11"/>
      <color rgb="FF06B6D4"/>
      <name val="Arial"/>
      <family val="0"/>
      <charset val="1"/>
    </font>
    <font>
      <sz val="11"/>
      <color rgb="FF94A3B8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i val="true"/>
      <sz val="9"/>
      <color rgb="FF1E40AF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9"/>
      <color rgb="FF94A3B8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6"/>
      <color rgb="FFF1F5F9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1"/>
      <color rgb="FF334155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sz val="10"/>
      <color rgb="FFEF4444"/>
      <name val="Arial"/>
      <family val="0"/>
      <charset val="1"/>
    </font>
    <font>
      <sz val="9"/>
      <color rgb="FF1E40AF"/>
      <name val="Arial"/>
      <family val="0"/>
      <charset val="1"/>
    </font>
    <font>
      <b val="true"/>
      <sz val="14"/>
      <color rgb="FFF1F5F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1"/>
      <color rgb="FF8B5CF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B82F6"/>
        <bgColor rgb="FF64748B"/>
      </patternFill>
    </fill>
    <fill>
      <patternFill patternType="solid">
        <fgColor rgb="FF10B981"/>
        <bgColor rgb="FF06B6D4"/>
      </patternFill>
    </fill>
    <fill>
      <patternFill patternType="solid">
        <fgColor rgb="FFF59E0B"/>
        <bgColor rgb="FFFFCC00"/>
      </patternFill>
    </fill>
    <fill>
      <patternFill patternType="solid">
        <fgColor rgb="FF8B5CF6"/>
        <bgColor rgb="FF64748B"/>
      </patternFill>
    </fill>
    <fill>
      <patternFill patternType="solid">
        <fgColor rgb="FFDBEAFE"/>
        <bgColor rgb="FFE2E8F0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FF7F7"/>
      </patternFill>
    </fill>
    <fill>
      <patternFill patternType="solid">
        <fgColor rgb="FFEDE9FE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1E293B"/>
        <bgColor rgb="FF2D3748"/>
      </patternFill>
    </fill>
    <fill>
      <patternFill patternType="solid">
        <fgColor rgb="FFF8FAFC"/>
        <bgColor rgb="FFFFF7F7"/>
      </patternFill>
    </fill>
    <fill>
      <patternFill patternType="solid">
        <fgColor rgb="FFEFF6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FFF7F7"/>
        <bgColor rgb="FFF8FAFC"/>
      </patternFill>
    </fill>
    <fill>
      <patternFill patternType="solid">
        <fgColor rgb="FF334155"/>
        <bgColor rgb="FF2D374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06B6D4"/>
      </left>
      <right/>
      <top/>
      <bottom/>
      <diagonal/>
    </border>
    <border diagonalUp="false" diagonalDown="false"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3B82F6"/>
      </left>
      <right/>
      <top/>
      <bottom/>
      <diagonal/>
    </border>
    <border diagonalUp="false" diagonalDown="false">
      <left style="thick">
        <color rgb="FF10B981"/>
      </left>
      <right/>
      <top/>
      <bottom/>
      <diagonal/>
    </border>
    <border diagonalUp="false" diagonalDown="false">
      <left style="thick">
        <color rgb="FFEF4444"/>
      </left>
      <right/>
      <top/>
      <bottom/>
      <diagonal/>
    </border>
    <border diagonalUp="false" diagonalDown="false"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 diagonalUp="false" diagonalDown="false">
      <left style="medium">
        <color rgb="FF10B981"/>
      </left>
      <right/>
      <top/>
      <bottom/>
      <diagonal/>
    </border>
    <border diagonalUp="false" diagonalDown="false">
      <left style="medium">
        <color rgb="FFF59E0B"/>
      </left>
      <right/>
      <top/>
      <bottom/>
      <diagonal/>
    </border>
    <border diagonalUp="false" diagonalDown="false">
      <left style="medium">
        <color rgb="FF8B5CF6"/>
      </left>
      <right/>
      <top/>
      <bottom/>
      <diagonal/>
    </border>
    <border diagonalUp="false" diagonalDown="false">
      <left style="medium">
        <color rgb="FFEF4444"/>
      </left>
      <right/>
      <top/>
      <bottom/>
      <diagonal/>
    </border>
    <border diagonalUp="false" diagonalDown="false">
      <left style="thin">
        <color rgb="FF3B82F6"/>
      </left>
      <right/>
      <top/>
      <bottom/>
      <diagonal/>
    </border>
    <border diagonalUp="false" diagonalDown="false">
      <left style="thick">
        <color rgb="FF3B82F6"/>
      </left>
      <right/>
      <top/>
      <bottom/>
      <diagonal/>
    </border>
    <border diagonalUp="false" diagonalDown="false">
      <left style="thick">
        <color rgb="FFF59E0B"/>
      </left>
      <right/>
      <top/>
      <bottom/>
      <diagonal/>
    </border>
    <border diagonalUp="false" diagonalDown="false">
      <left style="thick">
        <color rgb="FF06B6D4"/>
      </left>
      <right/>
      <top/>
      <bottom/>
      <diagonal/>
    </border>
    <border diagonalUp="false" diagonalDown="false">
      <left style="thick">
        <color rgb="FF8B5CF6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2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1F5F9"/>
      <rgbColor rgb="FF808080"/>
      <rgbColor rgb="FF8B5CF6"/>
      <rgbColor rgb="FF993366"/>
      <rgbColor rgb="FFFEF3C7"/>
      <rgbColor rgb="FFDBEAFE"/>
      <rgbColor rgb="FF660066"/>
      <rgbColor rgb="FFFF8080"/>
      <rgbColor rgb="FF1D4ED8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0FDF4"/>
      <rgbColor rgb="FFD1FAE5"/>
      <rgbColor rgb="FFFFF7F7"/>
      <rgbColor rgb="FFEFF6FF"/>
      <rgbColor rgb="FFF8FAFC"/>
      <rgbColor rgb="FFCC99FF"/>
      <rgbColor rgb="FFEDE9FE"/>
      <rgbColor rgb="FF3B82F6"/>
      <rgbColor rgb="FF33CCCC"/>
      <rgbColor rgb="FF99CC00"/>
      <rgbColor rgb="FFFFCC00"/>
      <rgbColor rgb="FFF59E0B"/>
      <rgbColor rgb="FFEF4444"/>
      <rgbColor rgb="FF64748B"/>
      <rgbColor rgb="FF94A3B8"/>
      <rgbColor rgb="FF1E293B"/>
      <rgbColor rgb="FF10B981"/>
      <rgbColor rgb="FF0F172A"/>
      <rgbColor rgb="FF334155"/>
      <rgbColor rgb="FF993300"/>
      <rgbColor rgb="FF993366"/>
      <rgbColor rgb="FF1E40AF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2"/>
    <col collapsed="false" customWidth="true" hidden="false" outlineLevel="0" max="9" min="3" style="0" width="14"/>
    <col collapsed="false" customWidth="true" hidden="false" outlineLevel="0" max="10" min="10" style="0" width="1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</row>
    <row r="3" customFormat="false" ht="21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1"/>
    </row>
    <row r="4" customFormat="false" ht="21.7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3"/>
      <c r="I4" s="3"/>
      <c r="J4" s="1"/>
    </row>
    <row r="5" customFormat="false" ht="21.75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4"/>
      <c r="J5" s="1"/>
    </row>
    <row r="6" customFormat="false" ht="21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21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12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3.5" hidden="false" customHeight="true" outlineLevel="0" collapsed="false">
      <c r="B9" s="5"/>
      <c r="C9" s="5"/>
      <c r="D9" s="6"/>
      <c r="E9" s="6"/>
      <c r="F9" s="7"/>
      <c r="G9" s="7"/>
      <c r="H9" s="8"/>
      <c r="I9" s="8"/>
    </row>
    <row r="10" customFormat="false" ht="31.5" hidden="false" customHeight="true" outlineLevel="0" collapsed="false">
      <c r="B10" s="9" t="s">
        <v>3</v>
      </c>
      <c r="C10" s="9"/>
      <c r="D10" s="10" t="s">
        <v>4</v>
      </c>
      <c r="E10" s="10"/>
      <c r="F10" s="11" t="s">
        <v>5</v>
      </c>
      <c r="G10" s="11"/>
      <c r="H10" s="12" t="s">
        <v>6</v>
      </c>
      <c r="I10" s="12"/>
    </row>
    <row r="11" customFormat="false" ht="19.5" hidden="false" customHeight="true" outlineLevel="0" collapsed="false">
      <c r="B11" s="13" t="s">
        <v>7</v>
      </c>
      <c r="C11" s="13"/>
      <c r="D11" s="14" t="s">
        <v>8</v>
      </c>
      <c r="E11" s="14"/>
      <c r="F11" s="15" t="s">
        <v>9</v>
      </c>
      <c r="G11" s="15"/>
      <c r="H11" s="16" t="s">
        <v>10</v>
      </c>
      <c r="I11" s="16"/>
    </row>
    <row r="12" customFormat="false" ht="13.5" hidden="false" customHeight="true" outlineLevel="0" collapsed="false">
      <c r="B12" s="17" t="s">
        <v>11</v>
      </c>
      <c r="C12" s="17"/>
      <c r="D12" s="18" t="s">
        <v>12</v>
      </c>
      <c r="E12" s="18"/>
      <c r="F12" s="19" t="s">
        <v>13</v>
      </c>
      <c r="G12" s="19"/>
      <c r="H12" s="20" t="s">
        <v>14</v>
      </c>
      <c r="I12" s="20"/>
    </row>
    <row r="13" customFormat="false" ht="9.75" hidden="false" customHeight="true" outlineLevel="0" collapsed="false"/>
    <row r="14" customFormat="false" ht="21.75" hidden="false" customHeight="true" outlineLevel="0" collapsed="false">
      <c r="B14" s="21" t="s">
        <v>15</v>
      </c>
      <c r="C14" s="21"/>
      <c r="D14" s="21"/>
      <c r="E14" s="21"/>
      <c r="F14" s="21"/>
      <c r="G14" s="21"/>
      <c r="H14" s="21"/>
      <c r="I14" s="21"/>
    </row>
    <row r="15" customFormat="false" ht="19.5" hidden="false" customHeight="true" outlineLevel="0" collapsed="false">
      <c r="B15" s="22" t="s">
        <v>16</v>
      </c>
      <c r="C15" s="22" t="s">
        <v>17</v>
      </c>
      <c r="D15" s="22" t="s">
        <v>18</v>
      </c>
      <c r="E15" s="22" t="s">
        <v>19</v>
      </c>
      <c r="F15" s="22" t="s">
        <v>20</v>
      </c>
    </row>
    <row r="16" customFormat="false" ht="19.5" hidden="false" customHeight="true" outlineLevel="0" collapsed="false">
      <c r="B16" s="23" t="n">
        <v>2010</v>
      </c>
      <c r="C16" s="24" t="n">
        <v>42328003.68</v>
      </c>
      <c r="D16" s="25" t="s">
        <v>21</v>
      </c>
      <c r="E16" s="26" t="s">
        <v>22</v>
      </c>
      <c r="F16" s="27" t="s">
        <v>23</v>
      </c>
      <c r="G16" s="28"/>
      <c r="H16" s="28"/>
      <c r="I16" s="28"/>
    </row>
    <row r="17" customFormat="false" ht="19.5" hidden="false" customHeight="true" outlineLevel="0" collapsed="false">
      <c r="B17" s="29" t="n">
        <v>2011</v>
      </c>
      <c r="C17" s="30" t="n">
        <v>45855337.32</v>
      </c>
      <c r="D17" s="31" t="s">
        <v>24</v>
      </c>
      <c r="E17" s="32" t="s">
        <v>25</v>
      </c>
      <c r="F17" s="33" t="s">
        <v>26</v>
      </c>
      <c r="G17" s="34"/>
      <c r="H17" s="34"/>
      <c r="I17" s="34"/>
    </row>
    <row r="18" customFormat="false" ht="19.5" hidden="false" customHeight="true" outlineLevel="0" collapsed="false">
      <c r="B18" s="23" t="n">
        <v>2012</v>
      </c>
      <c r="C18" s="24" t="n">
        <v>45855337.32</v>
      </c>
      <c r="D18" s="25" t="s">
        <v>27</v>
      </c>
      <c r="E18" s="26" t="s">
        <v>25</v>
      </c>
      <c r="F18" s="27" t="s">
        <v>28</v>
      </c>
      <c r="G18" s="28"/>
      <c r="H18" s="28"/>
      <c r="I18" s="28"/>
    </row>
    <row r="19" customFormat="false" ht="19.5" hidden="false" customHeight="true" outlineLevel="0" collapsed="false">
      <c r="B19" s="29" t="n">
        <v>2013</v>
      </c>
      <c r="C19" s="30" t="n">
        <v>26455002.3</v>
      </c>
      <c r="D19" s="35" t="s">
        <v>29</v>
      </c>
      <c r="E19" s="32" t="s">
        <v>30</v>
      </c>
      <c r="F19" s="33" t="s">
        <v>31</v>
      </c>
      <c r="G19" s="34"/>
      <c r="H19" s="34"/>
      <c r="I19" s="34"/>
    </row>
    <row r="20" customFormat="false" ht="21.75" hidden="false" customHeight="true" outlineLevel="0" collapsed="false">
      <c r="B20" s="36" t="s">
        <v>32</v>
      </c>
      <c r="C20" s="37" t="n">
        <f aca="false">SUM(C16:C19)</f>
        <v>160493680.62</v>
      </c>
      <c r="D20" s="38" t="s">
        <v>21</v>
      </c>
      <c r="E20" s="39" t="s">
        <v>33</v>
      </c>
      <c r="F20" s="40" t="s">
        <v>34</v>
      </c>
    </row>
    <row r="21" customFormat="false" ht="9.75" hidden="false" customHeight="true" outlineLevel="0" collapsed="false"/>
    <row r="22" customFormat="false" ht="21.75" hidden="false" customHeight="true" outlineLevel="0" collapsed="false">
      <c r="B22" s="21" t="s">
        <v>35</v>
      </c>
      <c r="C22" s="21"/>
      <c r="D22" s="21"/>
      <c r="E22" s="21"/>
      <c r="F22" s="21"/>
      <c r="G22" s="21"/>
      <c r="H22" s="21"/>
      <c r="I22" s="21"/>
    </row>
    <row r="23" customFormat="false" ht="19.5" hidden="false" customHeight="true" outlineLevel="0" collapsed="false">
      <c r="B23" s="22" t="s">
        <v>36</v>
      </c>
      <c r="C23" s="22" t="s">
        <v>17</v>
      </c>
      <c r="D23" s="22" t="s">
        <v>37</v>
      </c>
      <c r="E23" s="22" t="s">
        <v>38</v>
      </c>
    </row>
    <row r="24" customFormat="false" ht="19.5" hidden="false" customHeight="true" outlineLevel="0" collapsed="false">
      <c r="B24" s="41" t="s">
        <v>39</v>
      </c>
      <c r="C24" s="24" t="n">
        <v>81128673.72</v>
      </c>
      <c r="D24" s="42" t="s">
        <v>40</v>
      </c>
      <c r="E24" s="27" t="s">
        <v>41</v>
      </c>
    </row>
    <row r="25" customFormat="false" ht="19.5" hidden="false" customHeight="true" outlineLevel="0" collapsed="false">
      <c r="B25" s="43" t="s">
        <v>42</v>
      </c>
      <c r="C25" s="30" t="n">
        <v>39049184.48</v>
      </c>
      <c r="D25" s="44" t="s">
        <v>43</v>
      </c>
      <c r="E25" s="33" t="s">
        <v>44</v>
      </c>
    </row>
    <row r="26" customFormat="false" ht="19.5" hidden="false" customHeight="true" outlineLevel="0" collapsed="false">
      <c r="B26" s="45" t="s">
        <v>45</v>
      </c>
      <c r="C26" s="24" t="n">
        <v>31941270.63</v>
      </c>
      <c r="D26" s="46" t="s">
        <v>46</v>
      </c>
      <c r="E26" s="27" t="s">
        <v>47</v>
      </c>
    </row>
    <row r="27" customFormat="false" ht="19.5" hidden="false" customHeight="true" outlineLevel="0" collapsed="false">
      <c r="B27" s="47" t="s">
        <v>48</v>
      </c>
      <c r="C27" s="30" t="n">
        <v>7981130.94</v>
      </c>
      <c r="D27" s="48" t="s">
        <v>49</v>
      </c>
      <c r="E27" s="33" t="s">
        <v>50</v>
      </c>
    </row>
    <row r="28" customFormat="false" ht="9.75" hidden="false" customHeight="true" outlineLevel="0" collapsed="false"/>
    <row r="29" customFormat="false" ht="27.75" hidden="false" customHeight="true" outlineLevel="0" collapsed="false">
      <c r="B29" s="49" t="s">
        <v>51</v>
      </c>
      <c r="C29" s="49"/>
      <c r="D29" s="49"/>
      <c r="E29" s="49"/>
      <c r="F29" s="49"/>
      <c r="G29" s="49"/>
      <c r="H29" s="49"/>
    </row>
    <row r="30" customFormat="false" ht="9.75" hidden="false" customHeight="true" outlineLevel="0" collapsed="false"/>
    <row r="31" customFormat="false" ht="21.75" hidden="false" customHeight="true" outlineLevel="0" collapsed="false">
      <c r="B31" s="21" t="s">
        <v>52</v>
      </c>
      <c r="C31" s="21"/>
      <c r="D31" s="21"/>
      <c r="E31" s="21"/>
      <c r="F31" s="21"/>
      <c r="G31" s="21"/>
      <c r="H31" s="21"/>
      <c r="I31" s="21"/>
    </row>
    <row r="32" customFormat="false" ht="19.5" hidden="false" customHeight="true" outlineLevel="0" collapsed="false">
      <c r="B32" s="22" t="s">
        <v>53</v>
      </c>
      <c r="C32" s="22" t="s">
        <v>54</v>
      </c>
      <c r="D32" s="22" t="s">
        <v>17</v>
      </c>
      <c r="E32" s="22" t="s">
        <v>19</v>
      </c>
      <c r="F32" s="22" t="s">
        <v>55</v>
      </c>
    </row>
    <row r="33" customFormat="false" ht="19.5" hidden="false" customHeight="true" outlineLevel="0" collapsed="false">
      <c r="B33" s="50" t="s">
        <v>56</v>
      </c>
      <c r="C33" s="45" t="s">
        <v>57</v>
      </c>
      <c r="D33" s="24" t="n">
        <v>137673792.1</v>
      </c>
      <c r="E33" s="46" t="s">
        <v>58</v>
      </c>
      <c r="F33" s="27" t="s">
        <v>59</v>
      </c>
    </row>
    <row r="34" customFormat="false" ht="19.5" hidden="false" customHeight="true" outlineLevel="0" collapsed="false">
      <c r="B34" s="51" t="s">
        <v>56</v>
      </c>
      <c r="C34" s="43" t="s">
        <v>60</v>
      </c>
      <c r="D34" s="30" t="n">
        <v>22565591.67</v>
      </c>
      <c r="E34" s="44" t="s">
        <v>61</v>
      </c>
      <c r="F34" s="33" t="s">
        <v>62</v>
      </c>
    </row>
    <row r="35" customFormat="false" ht="19.5" hidden="false" customHeight="true" outlineLevel="0" collapsed="false">
      <c r="B35" s="50" t="s">
        <v>56</v>
      </c>
      <c r="C35" s="52" t="s">
        <v>63</v>
      </c>
      <c r="D35" s="24" t="n">
        <v>254296.83</v>
      </c>
      <c r="E35" s="53" t="s">
        <v>64</v>
      </c>
      <c r="F35" s="27" t="s">
        <v>65</v>
      </c>
    </row>
    <row r="36" customFormat="false" ht="19.5" hidden="false" customHeight="true" outlineLevel="0" collapsed="false">
      <c r="B36" s="51" t="s">
        <v>66</v>
      </c>
      <c r="C36" s="54" t="s">
        <v>67</v>
      </c>
      <c r="D36" s="30" t="n">
        <v>114191916.9</v>
      </c>
      <c r="E36" s="55" t="s">
        <v>68</v>
      </c>
      <c r="F36" s="33" t="s">
        <v>69</v>
      </c>
    </row>
    <row r="37" customFormat="false" ht="19.5" hidden="false" customHeight="true" outlineLevel="0" collapsed="false">
      <c r="B37" s="50" t="s">
        <v>66</v>
      </c>
      <c r="C37" s="56" t="s">
        <v>70</v>
      </c>
      <c r="D37" s="24" t="n">
        <v>37138906.32</v>
      </c>
      <c r="E37" s="57" t="s">
        <v>71</v>
      </c>
      <c r="F37" s="27" t="s">
        <v>72</v>
      </c>
    </row>
    <row r="38" customFormat="false" ht="19.5" hidden="false" customHeight="true" outlineLevel="0" collapsed="false">
      <c r="B38" s="51" t="s">
        <v>66</v>
      </c>
      <c r="C38" s="58" t="s">
        <v>73</v>
      </c>
      <c r="D38" s="30" t="n">
        <v>9162857.36</v>
      </c>
      <c r="E38" s="59" t="s">
        <v>74</v>
      </c>
      <c r="F38" s="33" t="s">
        <v>75</v>
      </c>
    </row>
    <row r="39" customFormat="false" ht="19.5" hidden="false" customHeight="true" outlineLevel="0" collapsed="false">
      <c r="B39" s="50" t="s">
        <v>76</v>
      </c>
      <c r="C39" s="41" t="s">
        <v>77</v>
      </c>
      <c r="D39" s="24" t="n">
        <v>114504117.8</v>
      </c>
      <c r="E39" s="42" t="s">
        <v>78</v>
      </c>
      <c r="F39" s="27" t="s">
        <v>79</v>
      </c>
    </row>
    <row r="40" customFormat="false" ht="19.5" hidden="false" customHeight="true" outlineLevel="0" collapsed="false">
      <c r="B40" s="51" t="s">
        <v>76</v>
      </c>
      <c r="C40" s="43" t="s">
        <v>80</v>
      </c>
      <c r="D40" s="30" t="n">
        <v>24981650.33</v>
      </c>
      <c r="E40" s="44" t="s">
        <v>81</v>
      </c>
      <c r="F40" s="33" t="s">
        <v>82</v>
      </c>
    </row>
    <row r="41" customFormat="false" ht="19.5" hidden="false" customHeight="true" outlineLevel="0" collapsed="false">
      <c r="B41" s="50" t="s">
        <v>76</v>
      </c>
      <c r="C41" s="45" t="s">
        <v>83</v>
      </c>
      <c r="D41" s="24" t="n">
        <v>14474199.09</v>
      </c>
      <c r="E41" s="46" t="s">
        <v>84</v>
      </c>
      <c r="F41" s="27" t="s">
        <v>85</v>
      </c>
    </row>
    <row r="42" customFormat="false" ht="19.5" hidden="false" customHeight="true" outlineLevel="0" collapsed="false">
      <c r="B42" s="51" t="s">
        <v>76</v>
      </c>
      <c r="C42" s="47" t="s">
        <v>86</v>
      </c>
      <c r="D42" s="30" t="n">
        <v>6533713.44</v>
      </c>
      <c r="E42" s="48" t="s">
        <v>87</v>
      </c>
      <c r="F42" s="33" t="s">
        <v>88</v>
      </c>
    </row>
    <row r="44" customFormat="false" ht="9.75" hidden="false" customHeight="true" outlineLevel="0" collapsed="false"/>
    <row r="45" customFormat="false" ht="21.75" hidden="false" customHeight="true" outlineLevel="0" collapsed="false">
      <c r="A45" s="1"/>
      <c r="B45" s="60" t="s">
        <v>89</v>
      </c>
      <c r="C45" s="60"/>
      <c r="D45" s="60"/>
      <c r="E45" s="60"/>
      <c r="F45" s="61" t="s">
        <v>90</v>
      </c>
      <c r="G45" s="61"/>
      <c r="H45" s="61"/>
      <c r="I45" s="61"/>
      <c r="J45" s="1"/>
    </row>
  </sheetData>
  <mergeCells count="25">
    <mergeCell ref="B2:I3"/>
    <mergeCell ref="B4:I4"/>
    <mergeCell ref="B5:I5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4:I14"/>
    <mergeCell ref="B22:I22"/>
    <mergeCell ref="B29:H29"/>
    <mergeCell ref="B31:I31"/>
    <mergeCell ref="B45:E45"/>
    <mergeCell ref="F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62" t="s">
        <v>91</v>
      </c>
      <c r="C2" s="62"/>
      <c r="D2" s="62"/>
      <c r="E2" s="62"/>
      <c r="F2" s="62"/>
      <c r="G2" s="1"/>
    </row>
    <row r="3" customFormat="false" ht="19.5" hidden="false" customHeight="true" outlineLevel="0" collapsed="false">
      <c r="A3" s="1"/>
      <c r="B3" s="60" t="s">
        <v>92</v>
      </c>
      <c r="C3" s="60"/>
      <c r="D3" s="60"/>
      <c r="E3" s="60"/>
      <c r="F3" s="60"/>
      <c r="G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9.75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21.75" hidden="false" customHeight="true" outlineLevel="0" collapsed="false">
      <c r="B6" s="63" t="s">
        <v>93</v>
      </c>
      <c r="C6" s="63"/>
      <c r="D6" s="63"/>
      <c r="E6" s="63"/>
      <c r="F6" s="63"/>
    </row>
    <row r="7" customFormat="false" ht="19.5" hidden="false" customHeight="true" outlineLevel="0" collapsed="false">
      <c r="B7" s="22" t="s">
        <v>94</v>
      </c>
      <c r="C7" s="22" t="s">
        <v>95</v>
      </c>
      <c r="D7" s="22" t="s">
        <v>17</v>
      </c>
      <c r="E7" s="22" t="s">
        <v>96</v>
      </c>
      <c r="F7" s="22" t="s">
        <v>97</v>
      </c>
    </row>
    <row r="8" customFormat="false" ht="21.75" hidden="false" customHeight="true" outlineLevel="0" collapsed="false">
      <c r="B8" s="64" t="n">
        <v>1</v>
      </c>
      <c r="C8" s="65" t="s">
        <v>8</v>
      </c>
      <c r="D8" s="66" t="n">
        <v>8510665.8</v>
      </c>
      <c r="E8" s="67" t="s">
        <v>98</v>
      </c>
      <c r="F8" s="68" t="s">
        <v>99</v>
      </c>
    </row>
    <row r="9" customFormat="false" ht="21.75" hidden="false" customHeight="true" outlineLevel="0" collapsed="false">
      <c r="B9" s="69" t="n">
        <v>2</v>
      </c>
      <c r="C9" s="70" t="s">
        <v>100</v>
      </c>
      <c r="D9" s="71" t="n">
        <v>8375860.22</v>
      </c>
      <c r="E9" s="55" t="s">
        <v>101</v>
      </c>
      <c r="F9" s="33" t="s">
        <v>102</v>
      </c>
    </row>
    <row r="10" customFormat="false" ht="21.75" hidden="false" customHeight="true" outlineLevel="0" collapsed="false">
      <c r="B10" s="64" t="n">
        <v>3</v>
      </c>
      <c r="C10" s="65" t="s">
        <v>103</v>
      </c>
      <c r="D10" s="66" t="n">
        <v>7318736.88</v>
      </c>
      <c r="E10" s="67" t="s">
        <v>104</v>
      </c>
      <c r="F10" s="68" t="s">
        <v>105</v>
      </c>
    </row>
    <row r="11" customFormat="false" ht="21.75" hidden="false" customHeight="true" outlineLevel="0" collapsed="false">
      <c r="B11" s="69" t="n">
        <v>4</v>
      </c>
      <c r="C11" s="70" t="s">
        <v>106</v>
      </c>
      <c r="D11" s="71" t="n">
        <v>7047844.44</v>
      </c>
      <c r="E11" s="55" t="s">
        <v>107</v>
      </c>
      <c r="F11" s="33" t="s">
        <v>108</v>
      </c>
    </row>
    <row r="12" customFormat="false" ht="21.75" hidden="false" customHeight="true" outlineLevel="0" collapsed="false">
      <c r="B12" s="64" t="n">
        <v>5</v>
      </c>
      <c r="C12" s="65" t="s">
        <v>109</v>
      </c>
      <c r="D12" s="66" t="n">
        <v>6376198.92</v>
      </c>
      <c r="E12" s="67" t="s">
        <v>110</v>
      </c>
      <c r="F12" s="68" t="s">
        <v>111</v>
      </c>
    </row>
    <row r="14" customFormat="false" ht="21.75" hidden="false" customHeight="true" outlineLevel="0" collapsed="false">
      <c r="B14" s="72" t="s">
        <v>112</v>
      </c>
      <c r="C14" s="72"/>
      <c r="D14" s="72"/>
      <c r="E14" s="72"/>
      <c r="F14" s="72"/>
    </row>
    <row r="15" customFormat="false" ht="19.5" hidden="false" customHeight="true" outlineLevel="0" collapsed="false">
      <c r="B15" s="22" t="s">
        <v>94</v>
      </c>
      <c r="C15" s="22" t="s">
        <v>95</v>
      </c>
      <c r="D15" s="22" t="s">
        <v>17</v>
      </c>
      <c r="E15" s="22" t="s">
        <v>96</v>
      </c>
      <c r="F15" s="22" t="s">
        <v>97</v>
      </c>
    </row>
    <row r="16" customFormat="false" ht="21.75" hidden="false" customHeight="true" outlineLevel="0" collapsed="false">
      <c r="B16" s="73" t="n">
        <v>1</v>
      </c>
      <c r="C16" s="74" t="s">
        <v>113</v>
      </c>
      <c r="D16" s="75" t="n">
        <v>1225293.16</v>
      </c>
      <c r="E16" s="76" t="s">
        <v>114</v>
      </c>
      <c r="F16" s="77" t="s">
        <v>115</v>
      </c>
    </row>
    <row r="17" customFormat="false" ht="21.75" hidden="false" customHeight="true" outlineLevel="0" collapsed="false">
      <c r="B17" s="78" t="n">
        <v>2</v>
      </c>
      <c r="C17" s="70" t="s">
        <v>116</v>
      </c>
      <c r="D17" s="79" t="n">
        <v>1178770.32</v>
      </c>
      <c r="E17" s="80" t="s">
        <v>117</v>
      </c>
      <c r="F17" s="33" t="s">
        <v>118</v>
      </c>
    </row>
    <row r="18" customFormat="false" ht="21.75" hidden="false" customHeight="true" outlineLevel="0" collapsed="false">
      <c r="B18" s="73" t="n">
        <v>3</v>
      </c>
      <c r="C18" s="74" t="s">
        <v>119</v>
      </c>
      <c r="D18" s="75" t="n">
        <v>1174551.56</v>
      </c>
      <c r="E18" s="76" t="s">
        <v>120</v>
      </c>
      <c r="F18" s="77" t="s">
        <v>121</v>
      </c>
    </row>
    <row r="19" customFormat="false" ht="21.75" hidden="false" customHeight="true" outlineLevel="0" collapsed="false">
      <c r="B19" s="78" t="n">
        <v>4</v>
      </c>
      <c r="C19" s="70" t="s">
        <v>122</v>
      </c>
      <c r="D19" s="79" t="n">
        <v>390295.36</v>
      </c>
      <c r="E19" s="80" t="s">
        <v>123</v>
      </c>
      <c r="F19" s="33" t="s">
        <v>124</v>
      </c>
    </row>
    <row r="20" customFormat="false" ht="21.75" hidden="false" customHeight="true" outlineLevel="0" collapsed="false">
      <c r="B20" s="73" t="n">
        <v>5</v>
      </c>
      <c r="C20" s="74" t="s">
        <v>125</v>
      </c>
      <c r="D20" s="75" t="n">
        <v>288757.56</v>
      </c>
      <c r="E20" s="76" t="s">
        <v>126</v>
      </c>
      <c r="F20" s="77" t="s">
        <v>127</v>
      </c>
    </row>
    <row r="22" customFormat="false" ht="9.75" hidden="false" customHeight="true" outlineLevel="0" collapsed="false"/>
    <row r="23" customFormat="false" ht="36" hidden="false" customHeight="true" outlineLevel="0" collapsed="false">
      <c r="B23" s="81" t="s">
        <v>128</v>
      </c>
      <c r="C23" s="81"/>
      <c r="D23" s="81"/>
      <c r="E23" s="81"/>
      <c r="F23" s="81"/>
    </row>
  </sheetData>
  <mergeCells count="5">
    <mergeCell ref="B2:F2"/>
    <mergeCell ref="B3:F3"/>
    <mergeCell ref="B6:F6"/>
    <mergeCell ref="B14:F14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6" min="2" style="0" width="18"/>
    <col collapsed="false" customWidth="true" hidden="false" outlineLevel="0" max="7" min="7" style="0" width="1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1"/>
      <c r="B2" s="82" t="s">
        <v>129</v>
      </c>
      <c r="C2" s="82"/>
      <c r="D2" s="82"/>
      <c r="E2" s="82"/>
      <c r="F2" s="82"/>
      <c r="G2" s="1"/>
    </row>
    <row r="3" customFormat="false" ht="18" hidden="false" customHeight="tru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1.75" hidden="false" customHeight="true" outlineLevel="0" collapsed="false">
      <c r="B5" s="83" t="s">
        <v>130</v>
      </c>
      <c r="C5" s="83"/>
      <c r="D5" s="83"/>
      <c r="E5" s="83"/>
    </row>
    <row r="6" customFormat="false" ht="18" hidden="false" customHeight="true" outlineLevel="0" collapsed="false">
      <c r="B6" s="84" t="s">
        <v>16</v>
      </c>
      <c r="C6" s="84" t="s">
        <v>131</v>
      </c>
      <c r="D6" s="84" t="s">
        <v>19</v>
      </c>
    </row>
    <row r="7" customFormat="false" ht="18" hidden="false" customHeight="true" outlineLevel="0" collapsed="false">
      <c r="B7" s="85" t="n">
        <v>2010</v>
      </c>
      <c r="C7" s="86" t="n">
        <v>42328003.68</v>
      </c>
      <c r="D7" s="85" t="s">
        <v>22</v>
      </c>
    </row>
    <row r="8" customFormat="false" ht="18" hidden="false" customHeight="true" outlineLevel="0" collapsed="false">
      <c r="B8" s="87" t="n">
        <v>2011</v>
      </c>
      <c r="C8" s="88" t="n">
        <v>45855337.32</v>
      </c>
      <c r="D8" s="87" t="s">
        <v>25</v>
      </c>
    </row>
    <row r="9" customFormat="false" ht="18" hidden="false" customHeight="true" outlineLevel="0" collapsed="false">
      <c r="B9" s="85" t="n">
        <v>2012</v>
      </c>
      <c r="C9" s="86" t="n">
        <v>45855337.32</v>
      </c>
      <c r="D9" s="85" t="s">
        <v>25</v>
      </c>
    </row>
    <row r="10" customFormat="false" ht="18" hidden="false" customHeight="true" outlineLevel="0" collapsed="false">
      <c r="B10" s="87" t="n">
        <v>2013</v>
      </c>
      <c r="C10" s="88" t="n">
        <v>26455002.3</v>
      </c>
      <c r="D10" s="87" t="s">
        <v>30</v>
      </c>
    </row>
    <row r="11" customFormat="false" ht="18" hidden="false" customHeight="true" outlineLevel="0" collapsed="false">
      <c r="B11" s="85" t="s">
        <v>132</v>
      </c>
      <c r="C11" s="85" t="n">
        <f aca="false">SUM(C7:C10)</f>
        <v>160493680.62</v>
      </c>
      <c r="D11" s="85" t="s">
        <v>33</v>
      </c>
    </row>
    <row r="13" customFormat="false" ht="21.75" hidden="false" customHeight="true" outlineLevel="0" collapsed="false">
      <c r="B13" s="21" t="s">
        <v>133</v>
      </c>
      <c r="C13" s="21"/>
      <c r="D13" s="21"/>
      <c r="E13" s="21"/>
    </row>
    <row r="14" customFormat="false" ht="18" hidden="false" customHeight="true" outlineLevel="0" collapsed="false">
      <c r="B14" s="84" t="s">
        <v>134</v>
      </c>
      <c r="C14" s="84" t="s">
        <v>131</v>
      </c>
      <c r="D14" s="84" t="s">
        <v>135</v>
      </c>
    </row>
    <row r="15" customFormat="false" ht="18" hidden="false" customHeight="true" outlineLevel="0" collapsed="false">
      <c r="B15" s="85" t="n">
        <v>0</v>
      </c>
      <c r="C15" s="86" t="n">
        <v>149004921.8</v>
      </c>
      <c r="D15" s="85" t="s">
        <v>136</v>
      </c>
    </row>
    <row r="16" customFormat="false" ht="18" hidden="false" customHeight="true" outlineLevel="0" collapsed="false">
      <c r="B16" s="87" t="n">
        <v>1</v>
      </c>
      <c r="C16" s="88" t="n">
        <v>11488758.83</v>
      </c>
      <c r="D16" s="87" t="s">
        <v>137</v>
      </c>
    </row>
    <row r="17" customFormat="false" ht="18" hidden="false" customHeight="true" outlineLevel="0" collapsed="false">
      <c r="B17" s="85" t="s">
        <v>132</v>
      </c>
      <c r="C17" s="85" t="n">
        <f aca="false">SUM(C15:C16)</f>
        <v>160493680.63</v>
      </c>
      <c r="D17" s="85"/>
    </row>
    <row r="19" customFormat="false" ht="21.75" hidden="false" customHeight="true" outlineLevel="0" collapsed="false">
      <c r="B19" s="89" t="s">
        <v>138</v>
      </c>
      <c r="C19" s="89"/>
      <c r="D19" s="89"/>
      <c r="E19" s="89"/>
    </row>
    <row r="20" customFormat="false" ht="18" hidden="false" customHeight="true" outlineLevel="0" collapsed="false">
      <c r="B20" s="84" t="s">
        <v>139</v>
      </c>
      <c r="C20" s="84" t="s">
        <v>131</v>
      </c>
      <c r="D20" s="84" t="s">
        <v>37</v>
      </c>
    </row>
    <row r="21" customFormat="false" ht="18" hidden="false" customHeight="true" outlineLevel="0" collapsed="false">
      <c r="B21" s="85" t="s">
        <v>39</v>
      </c>
      <c r="C21" s="86" t="n">
        <v>81128673.72</v>
      </c>
      <c r="D21" s="85" t="s">
        <v>40</v>
      </c>
    </row>
    <row r="22" customFormat="false" ht="18" hidden="false" customHeight="true" outlineLevel="0" collapsed="false">
      <c r="B22" s="87" t="s">
        <v>80</v>
      </c>
      <c r="C22" s="88" t="n">
        <v>39049184.48</v>
      </c>
      <c r="D22" s="87" t="s">
        <v>43</v>
      </c>
    </row>
    <row r="23" customFormat="false" ht="18" hidden="false" customHeight="true" outlineLevel="0" collapsed="false">
      <c r="B23" s="85" t="s">
        <v>140</v>
      </c>
      <c r="C23" s="86" t="n">
        <v>31941270.63</v>
      </c>
      <c r="D23" s="85" t="s">
        <v>46</v>
      </c>
    </row>
    <row r="24" customFormat="false" ht="18" hidden="false" customHeight="true" outlineLevel="0" collapsed="false">
      <c r="B24" s="87" t="s">
        <v>83</v>
      </c>
      <c r="C24" s="88" t="n">
        <v>7981130.94</v>
      </c>
      <c r="D24" s="87" t="s">
        <v>49</v>
      </c>
    </row>
    <row r="25" customFormat="false" ht="18" hidden="false" customHeight="true" outlineLevel="0" collapsed="false">
      <c r="B25" s="85" t="s">
        <v>132</v>
      </c>
      <c r="C25" s="85" t="n">
        <f aca="false">SUM(C21:C24)</f>
        <v>160100259.77</v>
      </c>
      <c r="D25" s="85" t="s">
        <v>33</v>
      </c>
    </row>
    <row r="28" customFormat="false" ht="21.75" hidden="false" customHeight="true" outlineLevel="0" collapsed="false">
      <c r="B28" s="90" t="s">
        <v>141</v>
      </c>
      <c r="C28" s="90"/>
      <c r="D28" s="90"/>
      <c r="E28" s="90"/>
    </row>
    <row r="29" customFormat="false" ht="18" hidden="false" customHeight="true" outlineLevel="0" collapsed="false">
      <c r="B29" s="84" t="s">
        <v>142</v>
      </c>
      <c r="C29" s="84" t="s">
        <v>131</v>
      </c>
      <c r="D29" s="84" t="s">
        <v>37</v>
      </c>
    </row>
    <row r="30" customFormat="false" ht="18" hidden="false" customHeight="true" outlineLevel="0" collapsed="false">
      <c r="B30" s="85" t="s">
        <v>57</v>
      </c>
      <c r="C30" s="86" t="n">
        <v>137673792.1</v>
      </c>
      <c r="D30" s="85" t="s">
        <v>58</v>
      </c>
    </row>
    <row r="31" customFormat="false" ht="18" hidden="false" customHeight="true" outlineLevel="0" collapsed="false">
      <c r="B31" s="87" t="s">
        <v>60</v>
      </c>
      <c r="C31" s="88" t="n">
        <v>22565591.67</v>
      </c>
      <c r="D31" s="87" t="s">
        <v>61</v>
      </c>
    </row>
    <row r="32" customFormat="false" ht="18" hidden="false" customHeight="true" outlineLevel="0" collapsed="false">
      <c r="B32" s="85" t="s">
        <v>63</v>
      </c>
      <c r="C32" s="86" t="n">
        <v>254296.83</v>
      </c>
      <c r="D32" s="85" t="s">
        <v>64</v>
      </c>
    </row>
    <row r="33" customFormat="false" ht="18" hidden="false" customHeight="true" outlineLevel="0" collapsed="false">
      <c r="B33" s="87" t="s">
        <v>132</v>
      </c>
      <c r="C33" s="87" t="n">
        <f aca="false">SUM(C30:C32)</f>
        <v>160493680.6</v>
      </c>
      <c r="D33" s="87" t="s">
        <v>33</v>
      </c>
    </row>
    <row r="35" customFormat="false" ht="21.75" hidden="false" customHeight="true" outlineLevel="0" collapsed="false">
      <c r="B35" s="91" t="s">
        <v>143</v>
      </c>
      <c r="C35" s="91"/>
      <c r="D35" s="91"/>
      <c r="E35" s="91"/>
    </row>
    <row r="36" customFormat="false" ht="18" hidden="false" customHeight="true" outlineLevel="0" collapsed="false">
      <c r="B36" s="84" t="s">
        <v>144</v>
      </c>
      <c r="C36" s="84" t="s">
        <v>131</v>
      </c>
      <c r="D36" s="84" t="s">
        <v>37</v>
      </c>
    </row>
    <row r="37" customFormat="false" ht="18" hidden="false" customHeight="true" outlineLevel="0" collapsed="false">
      <c r="B37" s="85" t="s">
        <v>67</v>
      </c>
      <c r="C37" s="86" t="n">
        <v>114191916.9</v>
      </c>
      <c r="D37" s="85" t="s">
        <v>68</v>
      </c>
    </row>
    <row r="38" customFormat="false" ht="18" hidden="false" customHeight="true" outlineLevel="0" collapsed="false">
      <c r="B38" s="87" t="s">
        <v>70</v>
      </c>
      <c r="C38" s="88" t="n">
        <v>37138906.32</v>
      </c>
      <c r="D38" s="87" t="s">
        <v>71</v>
      </c>
    </row>
    <row r="39" customFormat="false" ht="18" hidden="false" customHeight="true" outlineLevel="0" collapsed="false">
      <c r="B39" s="85" t="s">
        <v>73</v>
      </c>
      <c r="C39" s="86" t="n">
        <v>9162857.36</v>
      </c>
      <c r="D39" s="85" t="s">
        <v>74</v>
      </c>
    </row>
    <row r="40" customFormat="false" ht="18" hidden="false" customHeight="true" outlineLevel="0" collapsed="false">
      <c r="B40" s="87" t="s">
        <v>132</v>
      </c>
      <c r="C40" s="87" t="n">
        <f aca="false">SUM(C37:C39)</f>
        <v>160493680.58</v>
      </c>
      <c r="D40" s="87" t="s">
        <v>33</v>
      </c>
    </row>
    <row r="42" customFormat="false" ht="21.75" hidden="false" customHeight="true" outlineLevel="0" collapsed="false">
      <c r="B42" s="92" t="s">
        <v>145</v>
      </c>
      <c r="C42" s="92"/>
      <c r="D42" s="92"/>
      <c r="E42" s="92"/>
    </row>
    <row r="43" customFormat="false" ht="18" hidden="false" customHeight="true" outlineLevel="0" collapsed="false">
      <c r="B43" s="84" t="s">
        <v>146</v>
      </c>
      <c r="C43" s="84" t="s">
        <v>131</v>
      </c>
      <c r="D43" s="84" t="s">
        <v>37</v>
      </c>
    </row>
    <row r="44" customFormat="false" ht="18" hidden="false" customHeight="true" outlineLevel="0" collapsed="false">
      <c r="B44" s="85" t="s">
        <v>77</v>
      </c>
      <c r="C44" s="86" t="n">
        <v>114504117.8</v>
      </c>
      <c r="D44" s="85" t="s">
        <v>78</v>
      </c>
    </row>
    <row r="45" customFormat="false" ht="18" hidden="false" customHeight="true" outlineLevel="0" collapsed="false">
      <c r="B45" s="87" t="s">
        <v>80</v>
      </c>
      <c r="C45" s="88" t="n">
        <v>24981650.33</v>
      </c>
      <c r="D45" s="87" t="s">
        <v>81</v>
      </c>
    </row>
    <row r="46" customFormat="false" ht="18" hidden="false" customHeight="true" outlineLevel="0" collapsed="false">
      <c r="B46" s="85" t="s">
        <v>83</v>
      </c>
      <c r="C46" s="86" t="n">
        <v>14474199.09</v>
      </c>
      <c r="D46" s="85" t="s">
        <v>84</v>
      </c>
    </row>
    <row r="47" customFormat="false" ht="18" hidden="false" customHeight="true" outlineLevel="0" collapsed="false">
      <c r="B47" s="87" t="s">
        <v>86</v>
      </c>
      <c r="C47" s="88" t="n">
        <v>6533713.44</v>
      </c>
      <c r="D47" s="87" t="s">
        <v>87</v>
      </c>
    </row>
    <row r="48" customFormat="false" ht="18" hidden="false" customHeight="true" outlineLevel="0" collapsed="false">
      <c r="B48" s="85" t="s">
        <v>132</v>
      </c>
      <c r="C48" s="85" t="n">
        <f aca="false">SUM(C44:C47)</f>
        <v>160493680.66</v>
      </c>
      <c r="D48" s="85" t="s">
        <v>33</v>
      </c>
    </row>
  </sheetData>
  <mergeCells count="7">
    <mergeCell ref="B2:F2"/>
    <mergeCell ref="B5:E5"/>
    <mergeCell ref="B13:E13"/>
    <mergeCell ref="B19:E19"/>
    <mergeCell ref="B28:E28"/>
    <mergeCell ref="B35:E35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"/>
  </cols>
  <sheetData>
    <row r="1" customFormat="false" ht="9.75" hidden="false" customHeight="true" outlineLevel="0" collapsed="false">
      <c r="A1" s="1"/>
      <c r="B1" s="1"/>
      <c r="C1" s="1"/>
      <c r="D1" s="1"/>
    </row>
    <row r="2" customFormat="false" ht="31.5" hidden="false" customHeight="true" outlineLevel="0" collapsed="false">
      <c r="A2" s="1"/>
      <c r="B2" s="82" t="s">
        <v>147</v>
      </c>
      <c r="C2" s="82"/>
      <c r="D2" s="1"/>
    </row>
    <row r="3" customFormat="false" ht="18" hidden="false" customHeight="true" outlineLevel="0" collapsed="false">
      <c r="A3" s="1"/>
      <c r="B3" s="93" t="s">
        <v>148</v>
      </c>
      <c r="C3" s="93"/>
      <c r="D3" s="1"/>
    </row>
    <row r="4" customFormat="false" ht="18" hidden="false" customHeight="true" outlineLevel="0" collapsed="false">
      <c r="A4" s="1"/>
      <c r="B4" s="1"/>
      <c r="C4" s="1"/>
      <c r="D4" s="1"/>
    </row>
    <row r="5" customFormat="false" ht="9.75" hidden="false" customHeight="true" outlineLevel="0" collapsed="false">
      <c r="A5" s="1"/>
      <c r="B5" s="1"/>
      <c r="C5" s="1"/>
      <c r="D5" s="1"/>
    </row>
    <row r="6" customFormat="false" ht="13.5" hidden="false" customHeight="true" outlineLevel="0" collapsed="false"/>
    <row r="7" customFormat="false" ht="25.5" hidden="false" customHeight="true" outlineLevel="0" collapsed="false">
      <c r="B7" s="94" t="s">
        <v>149</v>
      </c>
      <c r="C7" s="94"/>
    </row>
    <row r="8" customFormat="false" ht="19.5" hidden="false" customHeight="true" outlineLevel="0" collapsed="false">
      <c r="B8" s="95" t="s">
        <v>150</v>
      </c>
      <c r="C8" s="95"/>
    </row>
    <row r="9" customFormat="false" ht="19.5" hidden="false" customHeight="true" outlineLevel="0" collapsed="false">
      <c r="B9" s="96" t="s">
        <v>151</v>
      </c>
      <c r="C9" s="96"/>
    </row>
    <row r="10" customFormat="false" ht="13.5" hidden="false" customHeight="true" outlineLevel="0" collapsed="false"/>
    <row r="11" customFormat="false" ht="25.5" hidden="false" customHeight="true" outlineLevel="0" collapsed="false">
      <c r="B11" s="97" t="s">
        <v>152</v>
      </c>
      <c r="C11" s="97"/>
    </row>
    <row r="12" customFormat="false" ht="19.5" hidden="false" customHeight="true" outlineLevel="0" collapsed="false">
      <c r="B12" s="95" t="s">
        <v>153</v>
      </c>
      <c r="C12" s="95"/>
    </row>
    <row r="13" customFormat="false" ht="19.5" hidden="false" customHeight="true" outlineLevel="0" collapsed="false">
      <c r="B13" s="96" t="s">
        <v>154</v>
      </c>
      <c r="C13" s="96"/>
    </row>
    <row r="14" customFormat="false" ht="13.5" hidden="false" customHeight="true" outlineLevel="0" collapsed="false"/>
    <row r="15" customFormat="false" ht="25.5" hidden="false" customHeight="true" outlineLevel="0" collapsed="false">
      <c r="B15" s="98" t="s">
        <v>155</v>
      </c>
      <c r="C15" s="98"/>
    </row>
    <row r="16" customFormat="false" ht="19.5" hidden="false" customHeight="true" outlineLevel="0" collapsed="false">
      <c r="B16" s="95" t="s">
        <v>156</v>
      </c>
      <c r="C16" s="95"/>
    </row>
    <row r="17" customFormat="false" ht="19.5" hidden="false" customHeight="true" outlineLevel="0" collapsed="false">
      <c r="B17" s="96" t="s">
        <v>157</v>
      </c>
      <c r="C17" s="96"/>
    </row>
    <row r="18" customFormat="false" ht="13.5" hidden="false" customHeight="true" outlineLevel="0" collapsed="false"/>
    <row r="19" customFormat="false" ht="25.5" hidden="false" customHeight="true" outlineLevel="0" collapsed="false">
      <c r="B19" s="99" t="s">
        <v>158</v>
      </c>
      <c r="C19" s="99"/>
    </row>
    <row r="20" customFormat="false" ht="19.5" hidden="false" customHeight="true" outlineLevel="0" collapsed="false">
      <c r="B20" s="95" t="s">
        <v>159</v>
      </c>
      <c r="C20" s="95"/>
    </row>
    <row r="21" customFormat="false" ht="19.5" hidden="false" customHeight="true" outlineLevel="0" collapsed="false">
      <c r="B21" s="96" t="s">
        <v>160</v>
      </c>
      <c r="C21" s="96"/>
    </row>
    <row r="22" customFormat="false" ht="13.5" hidden="false" customHeight="true" outlineLevel="0" collapsed="false"/>
    <row r="23" customFormat="false" ht="25.5" hidden="false" customHeight="true" outlineLevel="0" collapsed="false">
      <c r="B23" s="100" t="s">
        <v>161</v>
      </c>
      <c r="C23" s="100"/>
    </row>
    <row r="24" customFormat="false" ht="19.5" hidden="false" customHeight="true" outlineLevel="0" collapsed="false">
      <c r="B24" s="95" t="s">
        <v>162</v>
      </c>
      <c r="C24" s="95"/>
    </row>
    <row r="25" customFormat="false" ht="19.5" hidden="false" customHeight="true" outlineLevel="0" collapsed="false">
      <c r="B25" s="96" t="s">
        <v>163</v>
      </c>
      <c r="C25" s="96"/>
    </row>
    <row r="26" customFormat="false" ht="13.5" hidden="false" customHeight="true" outlineLevel="0" collapsed="false"/>
    <row r="27" customFormat="false" ht="25.5" hidden="false" customHeight="true" outlineLevel="0" collapsed="false">
      <c r="B27" s="101" t="s">
        <v>164</v>
      </c>
      <c r="C27" s="101"/>
    </row>
    <row r="28" customFormat="false" ht="19.5" hidden="false" customHeight="true" outlineLevel="0" collapsed="false">
      <c r="B28" s="95" t="s">
        <v>165</v>
      </c>
      <c r="C28" s="95"/>
    </row>
    <row r="29" customFormat="false" ht="19.5" hidden="false" customHeight="true" outlineLevel="0" collapsed="false">
      <c r="B29" s="96" t="s">
        <v>166</v>
      </c>
      <c r="C29" s="96"/>
    </row>
  </sheetData>
  <mergeCells count="20">
    <mergeCell ref="B2:C2"/>
    <mergeCell ref="B3:C3"/>
    <mergeCell ref="B7:C7"/>
    <mergeCell ref="B8:C8"/>
    <mergeCell ref="B9:C9"/>
    <mergeCell ref="B11:C11"/>
    <mergeCell ref="B12:C12"/>
    <mergeCell ref="B13:C13"/>
    <mergeCell ref="B15:C15"/>
    <mergeCell ref="B16:C16"/>
    <mergeCell ref="B17:C17"/>
    <mergeCell ref="B19:C19"/>
    <mergeCell ref="B20:C20"/>
    <mergeCell ref="B21:C21"/>
    <mergeCell ref="B23:C23"/>
    <mergeCell ref="B24:C24"/>
    <mergeCell ref="B25:C25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2026-05-04T09:30:40Z</dcterms:created>
  <dc:creator>openpyxl</dc:creator>
  <dc:description/>
  <dc:language>en-US</dc:language>
  <cp:lastModifiedBy/>
  <dcterms:modified xsi:type="dcterms:W3CDTF">2026-05-04T09:30:40Z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